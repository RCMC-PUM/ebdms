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.binkowski\Desktop\"/>
    </mc:Choice>
  </mc:AlternateContent>
  <xr:revisionPtr revIDLastSave="0" documentId="13_ncr:1_{02633B31-7A90-4EF8-A25A-0132ACE5A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8" i="3" l="1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<sst xmlns="http://schemas.openxmlformats.org/spreadsheetml/2006/main" count="57" uniqueCount="57">
  <si>
    <t>lp.</t>
  </si>
  <si>
    <t>ilość</t>
  </si>
  <si>
    <t>cena jednostkowa</t>
  </si>
  <si>
    <t>Zamawiana dostawa / usługa</t>
  </si>
  <si>
    <t>Nr katalogowy</t>
  </si>
  <si>
    <t>szacunkowa wartość</t>
  </si>
  <si>
    <t>Quantifiler™ Trio DNA
Quantification Kit (ThermoFisher)</t>
  </si>
  <si>
    <t>MicroAmp™ Optical 96-Well
Reaction Plate with Barcode,
20 Plates (ThermoFisher)</t>
  </si>
  <si>
    <t>MicroAmp™ Optical Adhesive
Film, 100 covers (ThermoFisher)</t>
  </si>
  <si>
    <t>Abgene™ 96-well
Sealing Mats for Sample
Processing &amp;amp; Storage
DeepWell&amp;trade; and
MicroWell Microplates (ThermoFisher)</t>
  </si>
  <si>
    <t>AB0566</t>
  </si>
  <si>
    <t>Abgene™ 96 Well
0.8mL Polypropylene
DeepWell&amp;trade; Sample
Processing &amp;amp; Storage
Plate for Genomics and NGS
library preparation (ThermoFisher)</t>
  </si>
  <si>
    <t>AB0765</t>
  </si>
  <si>
    <t>MicroAmp™
EnduraPlate&amp;trade; Optical
96-Well Clear Reaction
Plates (ThermoFisher)</t>
  </si>
  <si>
    <t>A36924</t>
  </si>
  <si>
    <t>Qubit™ dsDNA BR Assay Kit,
500 assays (ThermoFisher)</t>
  </si>
  <si>
    <t>Q32853</t>
  </si>
  <si>
    <t>Qubit™ Flex Assay Tube
Strips (ThermoFisher)</t>
  </si>
  <si>
    <t>Q33252</t>
  </si>
  <si>
    <t>Microcentrifuge Tube, PP, 1.7ml, Clear, RCF 25,000xg, Sterile -
Mikroprobówki 1,7ml, sterylne, SPL, 5000 szt. (Genos)</t>
  </si>
  <si>
    <t>1O-FLOPRO114M</t>
  </si>
  <si>
    <t>PromethION Flow Cell R10.4.1 (M
version) 4pack (Biomedica)</t>
  </si>
  <si>
    <t>1O-SQKLSK114</t>
  </si>
  <si>
    <t>Ligation Sequencing Kit V14 (Biomedica)</t>
  </si>
  <si>
    <t>NEBNext Companion Module v2
for Oxford Nanopore Technologies
Ligation Sequencing - 24 reactions (Biomedica)</t>
  </si>
  <si>
    <t>NEB-E7672S</t>
  </si>
  <si>
    <t>DNA LoBind® Tubes (Eppendorf)</t>
  </si>
  <si>
    <t>ep Dualfilter T.I.P.S.® 2-100ul (Ependorf)</t>
  </si>
  <si>
    <t>ep Dualfilter T.I.P.S.® 20-300ul (Ependorf)</t>
  </si>
  <si>
    <t>ep Dualfilter T.I.P.S.® 2-20 ul (Ependorf)</t>
  </si>
  <si>
    <t>0030108051</t>
  </si>
  <si>
    <t>0030078543</t>
  </si>
  <si>
    <t>0030078560</t>
  </si>
  <si>
    <t>0030078535</t>
  </si>
  <si>
    <t>0030120086</t>
  </si>
  <si>
    <t>Eppendorf Safe-Lock® Tubes (Eppendorf)</t>
  </si>
  <si>
    <t>A30588</t>
  </si>
  <si>
    <t>MicroAmp™ Optical 8-Tube 
Strip with Attached Optical
Caps, 0.2 mL (ThermoFisher)</t>
  </si>
  <si>
    <t>Genomic DNA Reagents (Altium)</t>
  </si>
  <si>
    <t>5067-5366</t>
  </si>
  <si>
    <t>Genomic DNA ScreenTape (Altium)</t>
  </si>
  <si>
    <t>5067-5365</t>
  </si>
  <si>
    <t>High Sensitivity D1000 Reagents (Altium)</t>
  </si>
  <si>
    <t>5067-5585</t>
  </si>
  <si>
    <t>High Sensitivity D1000
ScreenTape (Altium)</t>
  </si>
  <si>
    <t>5067-5584</t>
  </si>
  <si>
    <t>401428</t>
  </si>
  <si>
    <t>401425</t>
  </si>
  <si>
    <t>5067-5153</t>
  </si>
  <si>
    <t>Mx3000P Strip Tubes Altium)</t>
  </si>
  <si>
    <t>Optical tube strip
caps,8/stripx120/box (Altium)</t>
  </si>
  <si>
    <t>Loading Tips (1EA/PK) (Altium)</t>
  </si>
  <si>
    <t>116U-50</t>
  </si>
  <si>
    <t xml:space="preserve">Genomic Mini Universal (Aabiotechnology) - https://www.aabiot.com/izolacja-dna </t>
  </si>
  <si>
    <t>D5046</t>
  </si>
  <si>
    <t>EZ-96 DNA Methylation-Lightning MagPrep
(4x96 rxns.), Zymo Research (TKbiotech)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</si>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</sst>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6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horizontal="right" vertical="center" wrapText="1" indent="1"/>
    </xf>
    <xf numFmtId="164" fontId="4" fillId="2" borderId="10" xfId="0" applyNumberFormat="1" applyFont="1" applyFill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4" fillId="0" borderId="3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602"/>
      <color rgb="FF902402"/>
      <color rgb="FF9CBDD4"/>
      <color rgb="FFFFF2CC"/>
      <color rgb="FFE7F1F9"/>
      <color rgb="FFF4CF74"/>
      <color rgb="FFEDA9A9"/>
      <color rgb="FFE7BB63"/>
      <color rgb="FFADC8DB"/>
      <color rgb="FFF5D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F205-59B5-468E-BE0F-60784BA97A3A}">
  <dimension ref="A1:M28"/>
  <sheetViews>
    <sheetView tabSelected="1" workbookViewId="0">
      <selection activeCell="W18" sqref="W18"/>
    </sheetView>
  </sheetViews>
  <sheetFormatPr defaultRowHeight="14.4" x14ac:dyDescent="0.3"/>
  <cols>
    <col min="13" max="13" width="11.88671875" bestFit="1" customWidth="1"/>
  </cols>
  <sheetData>
    <row r="1" spans="1:13" ht="27.6" x14ac:dyDescent="0.3">
      <c r="A1" s="7" t="s">
        <v>0</v>
      </c>
      <c r="B1" s="26" t="s">
        <v>3</v>
      </c>
      <c r="C1" s="26"/>
      <c r="D1" s="26"/>
      <c r="E1" s="26"/>
      <c r="F1" s="27"/>
      <c r="G1" s="25" t="s">
        <v>4</v>
      </c>
      <c r="H1" s="26"/>
      <c r="I1" s="27"/>
      <c r="J1" s="8" t="s">
        <v>1</v>
      </c>
      <c r="K1" s="25" t="s">
        <v>2</v>
      </c>
      <c r="L1" s="27"/>
      <c r="M1" s="2" t="s">
        <v>5</v>
      </c>
    </row>
    <row r="2" spans="1:13" ht="15.6" x14ac:dyDescent="0.3">
      <c r="A2" s="3">
        <v>1</v>
      </c>
      <c r="B2" s="28" t="s">
        <v>6</v>
      </c>
      <c r="C2" s="28"/>
      <c r="D2" s="28"/>
      <c r="E2" s="28"/>
      <c r="F2" s="28"/>
      <c r="G2" s="29">
        <v>4482910</v>
      </c>
      <c r="H2" s="29"/>
      <c r="I2" s="29"/>
      <c r="J2" s="1">
        <v>1</v>
      </c>
      <c r="K2" s="30">
        <v>11180</v>
      </c>
      <c r="L2" s="30"/>
      <c r="M2" s="4">
        <f t="shared" ref="M2:M28" si="0">K2*J2</f>
        <v>11180</v>
      </c>
    </row>
    <row r="3" spans="1:13" ht="15.6" x14ac:dyDescent="0.3">
      <c r="A3" s="3">
        <v>2</v>
      </c>
      <c r="B3" s="28" t="s">
        <v>7</v>
      </c>
      <c r="C3" s="28"/>
      <c r="D3" s="28"/>
      <c r="E3" s="28"/>
      <c r="F3" s="28"/>
      <c r="G3" s="29">
        <v>4306737</v>
      </c>
      <c r="H3" s="29"/>
      <c r="I3" s="29"/>
      <c r="J3" s="1">
        <v>2</v>
      </c>
      <c r="K3" s="30">
        <v>688</v>
      </c>
      <c r="L3" s="30"/>
      <c r="M3" s="4">
        <f t="shared" si="0"/>
        <v>1376</v>
      </c>
    </row>
    <row r="4" spans="1:13" ht="15.6" x14ac:dyDescent="0.3">
      <c r="A4" s="3">
        <v>3</v>
      </c>
      <c r="B4" s="28" t="s">
        <v>8</v>
      </c>
      <c r="C4" s="28"/>
      <c r="D4" s="28"/>
      <c r="E4" s="28"/>
      <c r="F4" s="28"/>
      <c r="G4" s="29">
        <v>4311971</v>
      </c>
      <c r="H4" s="29"/>
      <c r="I4" s="29"/>
      <c r="J4" s="1">
        <v>1</v>
      </c>
      <c r="K4" s="30">
        <v>1166</v>
      </c>
      <c r="L4" s="30"/>
      <c r="M4" s="4">
        <f t="shared" si="0"/>
        <v>1166</v>
      </c>
    </row>
    <row r="5" spans="1:13" ht="15.6" x14ac:dyDescent="0.3">
      <c r="A5" s="3">
        <v>4</v>
      </c>
      <c r="B5" s="28" t="s">
        <v>9</v>
      </c>
      <c r="C5" s="28"/>
      <c r="D5" s="28"/>
      <c r="E5" s="28"/>
      <c r="F5" s="28"/>
      <c r="G5" s="29" t="s">
        <v>10</v>
      </c>
      <c r="H5" s="29"/>
      <c r="I5" s="29"/>
      <c r="J5" s="1">
        <v>1</v>
      </c>
      <c r="K5" s="30">
        <v>767</v>
      </c>
      <c r="L5" s="30"/>
      <c r="M5" s="4">
        <f t="shared" si="0"/>
        <v>767</v>
      </c>
    </row>
    <row r="6" spans="1:13" ht="15.6" x14ac:dyDescent="0.3">
      <c r="A6" s="3">
        <v>6</v>
      </c>
      <c r="B6" s="17" t="s">
        <v>11</v>
      </c>
      <c r="C6" s="18"/>
      <c r="D6" s="18"/>
      <c r="E6" s="18"/>
      <c r="F6" s="19"/>
      <c r="G6" s="20" t="s">
        <v>12</v>
      </c>
      <c r="H6" s="21"/>
      <c r="I6" s="22"/>
      <c r="J6" s="1">
        <v>1</v>
      </c>
      <c r="K6" s="23">
        <v>1111</v>
      </c>
      <c r="L6" s="24"/>
      <c r="M6" s="4">
        <f t="shared" si="0"/>
        <v>1111</v>
      </c>
    </row>
    <row r="7" spans="1:13" ht="15.6" x14ac:dyDescent="0.3">
      <c r="A7" s="3">
        <v>7</v>
      </c>
      <c r="B7" s="17" t="s">
        <v>13</v>
      </c>
      <c r="C7" s="18"/>
      <c r="D7" s="18"/>
      <c r="E7" s="18"/>
      <c r="F7" s="19"/>
      <c r="G7" s="20" t="s">
        <v>14</v>
      </c>
      <c r="H7" s="21"/>
      <c r="I7" s="22"/>
      <c r="J7" s="1">
        <v>2</v>
      </c>
      <c r="K7" s="23">
        <v>688</v>
      </c>
      <c r="L7" s="24"/>
      <c r="M7" s="4">
        <f t="shared" si="0"/>
        <v>1376</v>
      </c>
    </row>
    <row r="8" spans="1:13" ht="15.6" x14ac:dyDescent="0.3">
      <c r="A8" s="3">
        <v>8</v>
      </c>
      <c r="B8" s="17" t="s">
        <v>15</v>
      </c>
      <c r="C8" s="18"/>
      <c r="D8" s="18"/>
      <c r="E8" s="18"/>
      <c r="F8" s="19"/>
      <c r="G8" s="20" t="s">
        <v>16</v>
      </c>
      <c r="H8" s="21"/>
      <c r="I8" s="22"/>
      <c r="J8" s="1">
        <v>1</v>
      </c>
      <c r="K8" s="23">
        <v>1554</v>
      </c>
      <c r="L8" s="24"/>
      <c r="M8" s="4">
        <f t="shared" si="0"/>
        <v>1554</v>
      </c>
    </row>
    <row r="9" spans="1:13" ht="15.6" x14ac:dyDescent="0.3">
      <c r="A9" s="3">
        <v>9</v>
      </c>
      <c r="B9" s="17" t="s">
        <v>17</v>
      </c>
      <c r="C9" s="18"/>
      <c r="D9" s="18"/>
      <c r="E9" s="18"/>
      <c r="F9" s="19"/>
      <c r="G9" s="20" t="s">
        <v>18</v>
      </c>
      <c r="H9" s="21"/>
      <c r="I9" s="22"/>
      <c r="J9" s="1">
        <v>1</v>
      </c>
      <c r="K9" s="23">
        <v>1028</v>
      </c>
      <c r="L9" s="24"/>
      <c r="M9" s="4">
        <f t="shared" si="0"/>
        <v>1028</v>
      </c>
    </row>
    <row r="10" spans="1:13" ht="15.6" x14ac:dyDescent="0.3">
      <c r="A10" s="3">
        <v>10</v>
      </c>
      <c r="B10" s="17" t="s">
        <v>19</v>
      </c>
      <c r="C10" s="18"/>
      <c r="D10" s="18"/>
      <c r="E10" s="18"/>
      <c r="F10" s="19"/>
      <c r="G10" s="20" t="s">
        <v>56</v>
      </c>
      <c r="H10" s="21"/>
      <c r="I10" s="22"/>
      <c r="J10" s="1">
        <v>1</v>
      </c>
      <c r="K10" s="23">
        <v>777.36</v>
      </c>
      <c r="L10" s="24"/>
      <c r="M10" s="4">
        <f t="shared" si="0"/>
        <v>777.36</v>
      </c>
    </row>
    <row r="11" spans="1:13" ht="15.6" x14ac:dyDescent="0.3">
      <c r="A11" s="3">
        <v>11</v>
      </c>
      <c r="B11" s="17" t="s">
        <v>21</v>
      </c>
      <c r="C11" s="18"/>
      <c r="D11" s="18"/>
      <c r="E11" s="18"/>
      <c r="F11" s="19"/>
      <c r="G11" s="20" t="s">
        <v>20</v>
      </c>
      <c r="H11" s="21"/>
      <c r="I11" s="22"/>
      <c r="J11" s="1">
        <v>2</v>
      </c>
      <c r="K11" s="23">
        <v>20993.64</v>
      </c>
      <c r="L11" s="24"/>
      <c r="M11" s="4">
        <f t="shared" si="0"/>
        <v>41987.28</v>
      </c>
    </row>
    <row r="12" spans="1:13" ht="15.6" x14ac:dyDescent="0.3">
      <c r="A12" s="3">
        <v>12</v>
      </c>
      <c r="B12" s="17" t="s">
        <v>23</v>
      </c>
      <c r="C12" s="18"/>
      <c r="D12" s="18"/>
      <c r="E12" s="18"/>
      <c r="F12" s="19"/>
      <c r="G12" s="20" t="s">
        <v>22</v>
      </c>
      <c r="H12" s="21"/>
      <c r="I12" s="22"/>
      <c r="J12" s="1">
        <v>2</v>
      </c>
      <c r="K12" s="23">
        <v>3533.79</v>
      </c>
      <c r="L12" s="24"/>
      <c r="M12" s="4">
        <f t="shared" si="0"/>
        <v>7067.58</v>
      </c>
    </row>
    <row r="13" spans="1:13" ht="15.6" x14ac:dyDescent="0.3">
      <c r="A13" s="3">
        <v>13</v>
      </c>
      <c r="B13" s="17" t="s">
        <v>24</v>
      </c>
      <c r="C13" s="18"/>
      <c r="D13" s="18"/>
      <c r="E13" s="18"/>
      <c r="F13" s="19"/>
      <c r="G13" s="20" t="s">
        <v>25</v>
      </c>
      <c r="H13" s="21"/>
      <c r="I13" s="22"/>
      <c r="J13" s="1">
        <v>1</v>
      </c>
      <c r="K13" s="23">
        <v>3868.35</v>
      </c>
      <c r="L13" s="24"/>
      <c r="M13" s="4">
        <f t="shared" si="0"/>
        <v>3868.35</v>
      </c>
    </row>
    <row r="14" spans="1:13" ht="15.6" x14ac:dyDescent="0.3">
      <c r="A14" s="3">
        <v>14</v>
      </c>
      <c r="B14" s="17" t="s">
        <v>26</v>
      </c>
      <c r="C14" s="18"/>
      <c r="D14" s="18"/>
      <c r="E14" s="18"/>
      <c r="F14" s="19"/>
      <c r="G14" s="20" t="s">
        <v>30</v>
      </c>
      <c r="H14" s="21"/>
      <c r="I14" s="22"/>
      <c r="J14" s="1">
        <v>1</v>
      </c>
      <c r="K14" s="23">
        <v>90.53</v>
      </c>
      <c r="L14" s="24"/>
      <c r="M14" s="4">
        <f t="shared" si="0"/>
        <v>90.53</v>
      </c>
    </row>
    <row r="15" spans="1:13" ht="15.6" x14ac:dyDescent="0.3">
      <c r="A15" s="3">
        <v>15</v>
      </c>
      <c r="B15" s="9" t="s">
        <v>27</v>
      </c>
      <c r="C15" s="10"/>
      <c r="D15" s="10"/>
      <c r="E15" s="10"/>
      <c r="F15" s="11"/>
      <c r="G15" s="12" t="s">
        <v>31</v>
      </c>
      <c r="H15" s="13"/>
      <c r="I15" s="14"/>
      <c r="J15" s="6">
        <v>1</v>
      </c>
      <c r="K15" s="15">
        <v>1034.43</v>
      </c>
      <c r="L15" s="16"/>
      <c r="M15" s="5">
        <f t="shared" si="0"/>
        <v>1034.43</v>
      </c>
    </row>
    <row r="16" spans="1:13" ht="15.6" x14ac:dyDescent="0.3">
      <c r="A16" s="3">
        <v>16</v>
      </c>
      <c r="B16" s="9" t="s">
        <v>28</v>
      </c>
      <c r="C16" s="10"/>
      <c r="D16" s="10"/>
      <c r="E16" s="10"/>
      <c r="F16" s="11"/>
      <c r="G16" s="12" t="s">
        <v>32</v>
      </c>
      <c r="H16" s="13"/>
      <c r="I16" s="14"/>
      <c r="J16" s="6">
        <v>1</v>
      </c>
      <c r="K16" s="15">
        <v>1034.43</v>
      </c>
      <c r="L16" s="16"/>
      <c r="M16" s="5">
        <f t="shared" si="0"/>
        <v>1034.43</v>
      </c>
    </row>
    <row r="17" spans="1:13" ht="15.6" x14ac:dyDescent="0.3">
      <c r="A17" s="3">
        <v>17</v>
      </c>
      <c r="B17" s="17" t="s">
        <v>29</v>
      </c>
      <c r="C17" s="18"/>
      <c r="D17" s="18"/>
      <c r="E17" s="18"/>
      <c r="F17" s="19"/>
      <c r="G17" s="20" t="s">
        <v>33</v>
      </c>
      <c r="H17" s="21"/>
      <c r="I17" s="22"/>
      <c r="J17" s="1">
        <v>1</v>
      </c>
      <c r="K17" s="23">
        <v>1034.43</v>
      </c>
      <c r="L17" s="24"/>
      <c r="M17" s="4">
        <f t="shared" si="0"/>
        <v>1034.43</v>
      </c>
    </row>
    <row r="18" spans="1:13" ht="15.6" x14ac:dyDescent="0.3">
      <c r="A18" s="3">
        <v>18</v>
      </c>
      <c r="B18" s="17" t="s">
        <v>35</v>
      </c>
      <c r="C18" s="18"/>
      <c r="D18" s="18"/>
      <c r="E18" s="18"/>
      <c r="F18" s="19"/>
      <c r="G18" s="20" t="s">
        <v>34</v>
      </c>
      <c r="H18" s="21"/>
      <c r="I18" s="22"/>
      <c r="J18" s="1">
        <v>1</v>
      </c>
      <c r="K18" s="23">
        <v>277.98</v>
      </c>
      <c r="L18" s="24"/>
      <c r="M18" s="4">
        <f t="shared" si="0"/>
        <v>277.98</v>
      </c>
    </row>
    <row r="19" spans="1:13" ht="15.6" x14ac:dyDescent="0.3">
      <c r="A19" s="3">
        <v>19</v>
      </c>
      <c r="B19" s="17" t="s">
        <v>55</v>
      </c>
      <c r="C19" s="18"/>
      <c r="D19" s="18"/>
      <c r="E19" s="18"/>
      <c r="F19" s="19"/>
      <c r="G19" s="20" t="s">
        <v>54</v>
      </c>
      <c r="H19" s="21"/>
      <c r="I19" s="22"/>
      <c r="J19" s="1">
        <v>1</v>
      </c>
      <c r="K19" s="23">
        <v>6385.51</v>
      </c>
      <c r="L19" s="24"/>
      <c r="M19" s="4">
        <f t="shared" si="0"/>
        <v>6385.51</v>
      </c>
    </row>
    <row r="20" spans="1:13" ht="15.6" x14ac:dyDescent="0.3">
      <c r="A20" s="3">
        <v>20</v>
      </c>
      <c r="B20" s="17" t="s">
        <v>37</v>
      </c>
      <c r="C20" s="18"/>
      <c r="D20" s="18"/>
      <c r="E20" s="18"/>
      <c r="F20" s="19"/>
      <c r="G20" s="20" t="s">
        <v>36</v>
      </c>
      <c r="H20" s="21"/>
      <c r="I20" s="22"/>
      <c r="J20" s="1">
        <v>1</v>
      </c>
      <c r="K20" s="23">
        <v>1008</v>
      </c>
      <c r="L20" s="24"/>
      <c r="M20" s="4">
        <f t="shared" si="0"/>
        <v>1008</v>
      </c>
    </row>
    <row r="21" spans="1:13" ht="15.6" x14ac:dyDescent="0.3">
      <c r="A21" s="3">
        <v>21</v>
      </c>
      <c r="B21" s="17" t="s">
        <v>38</v>
      </c>
      <c r="C21" s="18"/>
      <c r="D21" s="18"/>
      <c r="E21" s="18"/>
      <c r="F21" s="19"/>
      <c r="G21" s="20" t="s">
        <v>39</v>
      </c>
      <c r="H21" s="21"/>
      <c r="I21" s="22"/>
      <c r="J21" s="1">
        <v>1</v>
      </c>
      <c r="K21" s="23">
        <v>1431.72</v>
      </c>
      <c r="L21" s="24"/>
      <c r="M21" s="4">
        <f t="shared" si="0"/>
        <v>1431.72</v>
      </c>
    </row>
    <row r="22" spans="1:13" ht="15.6" x14ac:dyDescent="0.3">
      <c r="A22" s="3">
        <v>22</v>
      </c>
      <c r="B22" s="17" t="s">
        <v>40</v>
      </c>
      <c r="C22" s="18"/>
      <c r="D22" s="18"/>
      <c r="E22" s="18"/>
      <c r="F22" s="19"/>
      <c r="G22" s="20" t="s">
        <v>41</v>
      </c>
      <c r="H22" s="21"/>
      <c r="I22" s="22"/>
      <c r="J22" s="1">
        <v>1</v>
      </c>
      <c r="K22" s="23">
        <v>2077.4699999999998</v>
      </c>
      <c r="L22" s="24"/>
      <c r="M22" s="4">
        <f t="shared" si="0"/>
        <v>2077.4699999999998</v>
      </c>
    </row>
    <row r="23" spans="1:13" ht="15.6" x14ac:dyDescent="0.3">
      <c r="A23" s="3">
        <v>23</v>
      </c>
      <c r="B23" s="9" t="s">
        <v>42</v>
      </c>
      <c r="C23" s="10"/>
      <c r="D23" s="10"/>
      <c r="E23" s="10"/>
      <c r="F23" s="11"/>
      <c r="G23" s="12" t="s">
        <v>43</v>
      </c>
      <c r="H23" s="13"/>
      <c r="I23" s="14"/>
      <c r="J23" s="6">
        <v>2</v>
      </c>
      <c r="K23" s="15">
        <v>884.37</v>
      </c>
      <c r="L23" s="16"/>
      <c r="M23" s="5">
        <f t="shared" si="0"/>
        <v>1768.74</v>
      </c>
    </row>
    <row r="24" spans="1:13" ht="15.6" x14ac:dyDescent="0.3">
      <c r="A24" s="3">
        <v>24</v>
      </c>
      <c r="B24" s="9" t="s">
        <v>44</v>
      </c>
      <c r="C24" s="10"/>
      <c r="D24" s="10"/>
      <c r="E24" s="10"/>
      <c r="F24" s="11"/>
      <c r="G24" s="12" t="s">
        <v>45</v>
      </c>
      <c r="H24" s="13"/>
      <c r="I24" s="14"/>
      <c r="J24" s="6">
        <v>2</v>
      </c>
      <c r="K24" s="15">
        <v>2592.84</v>
      </c>
      <c r="L24" s="16"/>
      <c r="M24" s="5">
        <f t="shared" si="0"/>
        <v>5185.68</v>
      </c>
    </row>
    <row r="25" spans="1:13" ht="15.6" x14ac:dyDescent="0.3">
      <c r="A25" s="3">
        <v>25</v>
      </c>
      <c r="B25" s="17" t="s">
        <v>49</v>
      </c>
      <c r="C25" s="18"/>
      <c r="D25" s="18"/>
      <c r="E25" s="18"/>
      <c r="F25" s="19"/>
      <c r="G25" s="20" t="s">
        <v>46</v>
      </c>
      <c r="H25" s="21"/>
      <c r="I25" s="22"/>
      <c r="J25" s="1">
        <v>2</v>
      </c>
      <c r="K25" s="23">
        <v>628.53</v>
      </c>
      <c r="L25" s="24"/>
      <c r="M25" s="4">
        <f t="shared" si="0"/>
        <v>1257.06</v>
      </c>
    </row>
    <row r="26" spans="1:13" ht="15.6" x14ac:dyDescent="0.3">
      <c r="A26" s="3">
        <v>26</v>
      </c>
      <c r="B26" s="17" t="s">
        <v>50</v>
      </c>
      <c r="C26" s="18"/>
      <c r="D26" s="18"/>
      <c r="E26" s="18"/>
      <c r="F26" s="19"/>
      <c r="G26" s="20" t="s">
        <v>47</v>
      </c>
      <c r="H26" s="21"/>
      <c r="I26" s="22"/>
      <c r="J26" s="1">
        <v>2</v>
      </c>
      <c r="K26" s="23">
        <v>302.58</v>
      </c>
      <c r="L26" s="24"/>
      <c r="M26" s="4">
        <f t="shared" si="0"/>
        <v>605.16</v>
      </c>
    </row>
    <row r="27" spans="1:13" x14ac:dyDescent="0.3">
      <c r="A27" s="3">
        <v>27</v>
      </c>
      <c r="B27" s="17" t="s">
        <v>51</v>
      </c>
      <c r="C27" s="18"/>
      <c r="D27" s="18"/>
      <c r="E27" s="18"/>
      <c r="F27" s="19"/>
      <c r="G27" s="20" t="s">
        <v>48</v>
      </c>
      <c r="H27" s="21"/>
      <c r="I27" s="22"/>
      <c r="J27" s="1">
        <v>2</v>
      </c>
      <c r="K27" s="23">
        <v>1168.5</v>
      </c>
      <c r="L27" s="24"/>
      <c r="M27" s="4">
        <f t="shared" si="0"/>
        <v>2337</v>
      </c>
    </row>
    <row r="28" spans="1:13" ht="15.6" x14ac:dyDescent="0.3">
      <c r="A28" s="3">
        <v>28</v>
      </c>
      <c r="B28" s="17" t="s">
        <v>53</v>
      </c>
      <c r="C28" s="18"/>
      <c r="D28" s="18"/>
      <c r="E28" s="18"/>
      <c r="F28" s="19"/>
      <c r="G28" s="20" t="s">
        <v>52</v>
      </c>
      <c r="H28" s="21"/>
      <c r="I28" s="22"/>
      <c r="J28" s="1">
        <v>1</v>
      </c>
      <c r="K28" s="23">
        <v>557.19000000000005</v>
      </c>
      <c r="L28" s="24"/>
      <c r="M28" s="4">
        <f t="shared" si="0"/>
        <v>557.19000000000005</v>
      </c>
    </row>
  </sheetData>
  <mergeCells count="84">
    <mergeCell ref="B1:F1"/>
    <mergeCell ref="G1:I1"/>
    <mergeCell ref="K1:L1"/>
    <mergeCell ref="B2:F2"/>
    <mergeCell ref="G2:I2"/>
    <mergeCell ref="K2:L2"/>
    <mergeCell ref="B3:F3"/>
    <mergeCell ref="G3:I3"/>
    <mergeCell ref="K3:L3"/>
    <mergeCell ref="B4:F4"/>
    <mergeCell ref="G4:I4"/>
    <mergeCell ref="K4:L4"/>
    <mergeCell ref="B5:F5"/>
    <mergeCell ref="G5:I5"/>
    <mergeCell ref="K5:L5"/>
    <mergeCell ref="B6:F6"/>
    <mergeCell ref="G6:I6"/>
    <mergeCell ref="K6:L6"/>
    <mergeCell ref="B7:F7"/>
    <mergeCell ref="G7:I7"/>
    <mergeCell ref="K7:L7"/>
    <mergeCell ref="B8:F8"/>
    <mergeCell ref="G8:I8"/>
    <mergeCell ref="K8:L8"/>
    <mergeCell ref="B9:F9"/>
    <mergeCell ref="G9:I9"/>
    <mergeCell ref="K9:L9"/>
    <mergeCell ref="B10:F10"/>
    <mergeCell ref="G10:I10"/>
    <mergeCell ref="K10:L10"/>
    <mergeCell ref="B11:F11"/>
    <mergeCell ref="G11:I11"/>
    <mergeCell ref="K11:L11"/>
    <mergeCell ref="B12:F12"/>
    <mergeCell ref="G12:I12"/>
    <mergeCell ref="K12:L12"/>
    <mergeCell ref="B13:F13"/>
    <mergeCell ref="G13:I13"/>
    <mergeCell ref="K13:L13"/>
    <mergeCell ref="B14:F14"/>
    <mergeCell ref="G14:I14"/>
    <mergeCell ref="K14:L14"/>
    <mergeCell ref="B15:F15"/>
    <mergeCell ref="G15:I15"/>
    <mergeCell ref="K15:L15"/>
    <mergeCell ref="B16:F16"/>
    <mergeCell ref="G16:I16"/>
    <mergeCell ref="K16:L16"/>
    <mergeCell ref="B17:F17"/>
    <mergeCell ref="G17:I17"/>
    <mergeCell ref="K17:L17"/>
    <mergeCell ref="B18:F18"/>
    <mergeCell ref="G18:I18"/>
    <mergeCell ref="K18:L18"/>
    <mergeCell ref="B19:F19"/>
    <mergeCell ref="G19:I19"/>
    <mergeCell ref="K19:L19"/>
    <mergeCell ref="B20:F20"/>
    <mergeCell ref="G20:I20"/>
    <mergeCell ref="K20:L20"/>
    <mergeCell ref="B21:F21"/>
    <mergeCell ref="G21:I21"/>
    <mergeCell ref="K21:L21"/>
    <mergeCell ref="B22:F22"/>
    <mergeCell ref="G22:I22"/>
    <mergeCell ref="K22:L22"/>
    <mergeCell ref="B23:F23"/>
    <mergeCell ref="G23:I23"/>
    <mergeCell ref="K23:L23"/>
    <mergeCell ref="B24:F24"/>
    <mergeCell ref="G24:I24"/>
    <mergeCell ref="K24:L24"/>
    <mergeCell ref="B25:F25"/>
    <mergeCell ref="G25:I25"/>
    <mergeCell ref="K25:L25"/>
    <mergeCell ref="B28:F28"/>
    <mergeCell ref="G28:I28"/>
    <mergeCell ref="K28:L28"/>
    <mergeCell ref="B26:F26"/>
    <mergeCell ref="G26:I26"/>
    <mergeCell ref="K26:L26"/>
    <mergeCell ref="B27:F27"/>
    <mergeCell ref="G27:I27"/>
    <mergeCell ref="K27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Pacała</dc:creator>
  <cp:keywords/>
  <dc:description/>
  <cp:lastModifiedBy>Bińkowski Jan</cp:lastModifiedBy>
  <cp:revision/>
  <dcterms:created xsi:type="dcterms:W3CDTF">2015-06-05T18:19:34Z</dcterms:created>
  <dcterms:modified xsi:type="dcterms:W3CDTF">2025-12-20T16:05:00Z</dcterms:modified>
  <cp:category/>
  <cp:contentStatus/>
</cp:coreProperties>
</file>